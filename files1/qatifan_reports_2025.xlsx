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سابات السنوية" sheetId="1" state="visible" r:id="rId1"/>
    <sheet xmlns:r="http://schemas.openxmlformats.org/officeDocument/2006/relationships" name="الذمم والالتزام" sheetId="2" state="visible" r:id="rId2"/>
    <sheet xmlns:r="http://schemas.openxmlformats.org/officeDocument/2006/relationships" name="كفاءة التنبيهات" sheetId="3" state="visible" r:id="rId3"/>
    <sheet xmlns:r="http://schemas.openxmlformats.org/officeDocument/2006/relationships" name="الرسوم البيان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AAAAA"/>
      <sz val="10"/>
    </font>
    <font>
      <name val="Arial"/>
      <b val="1"/>
      <color rgb="00FFFFFF"/>
      <sz val="11"/>
    </font>
    <font>
      <name val="Arial"/>
      <color rgb="000D7A5F"/>
      <sz val="10"/>
    </font>
    <font>
      <name val="Arial"/>
      <color rgb="00000000"/>
      <sz val="10"/>
    </font>
    <font>
      <name val="Arial"/>
      <color rgb="00B02020"/>
      <sz val="10"/>
    </font>
    <font>
      <name val="Arial"/>
      <b val="1"/>
      <color rgb="000D7A5F"/>
      <sz val="11"/>
    </font>
    <font>
      <name val="Arial"/>
      <b val="1"/>
      <color rgb="00FFFFFF"/>
      <sz val="10"/>
    </font>
    <font>
      <name val="Arial"/>
      <b val="1"/>
      <color rgb="000D7A5F"/>
      <sz val="10"/>
    </font>
    <font>
      <name val="Arial"/>
      <b val="1"/>
      <color rgb="001A4A8A"/>
      <sz val="10"/>
    </font>
    <font>
      <name val="Arial"/>
      <b val="1"/>
      <color rgb="00C07800"/>
      <sz val="10"/>
    </font>
    <font>
      <name val="Arial"/>
      <b val="1"/>
      <color rgb="00B02020"/>
      <sz val="10"/>
    </font>
  </fonts>
  <fills count="10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A4A8A"/>
      </patternFill>
    </fill>
    <fill>
      <patternFill patternType="solid">
        <fgColor rgb="00F5F5F3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E8F5F0"/>
      </patternFill>
    </fill>
    <fill>
      <patternFill patternType="solid">
        <fgColor rgb="00B02020"/>
      </patternFill>
    </fill>
    <fill>
      <patternFill patternType="solid">
        <fgColor rgb="00C07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4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 wrapText="1"/>
    </xf>
    <xf numFmtId="4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right" vertical="center" wrapText="1"/>
    </xf>
    <xf numFmtId="4" fontId="7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4" fontId="5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right" vertical="center" wrapText="1"/>
    </xf>
    <xf numFmtId="4" fontId="8" fillId="2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5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المصروفات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'الرسوم البيانية'!$A$40:$A$43</f>
            </numRef>
          </cat>
          <val>
            <numRef>
              <f>'الرسوم البيانية'!$B$40:$B$43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الاشتراكات الشهرية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'الرسوم البيانية'!$D$40:$D$51</f>
            </numRef>
          </cat>
          <val>
            <numRef>
              <f>'الرسوم البيانية'!$E$40:$E$51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ر.س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الرسائل المرسلة مقابل السداد</a:t>
            </a:r>
          </a:p>
        </rich>
      </tx>
    </title>
    <plotArea>
      <lineChart>
        <grouping val="standard"/>
        <ser>
          <idx val="0"/>
          <order val="0"/>
          <tx>
            <strRef>
              <f>'الرسوم البيانية'!H39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'الرسوم البيانية'!$G$40:$G$45</f>
            </numRef>
          </cat>
          <val>
            <numRef>
              <f>'الرسوم البيانية'!$H$40:$H$45</f>
            </numRef>
          </val>
        </ser>
        <ser>
          <idx val="1"/>
          <order val="1"/>
          <tx>
            <strRef>
              <f>'الرسوم البيانية'!I39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'الرسوم البيانية'!$G$40:$G$45</f>
            </numRef>
          </cat>
          <val>
            <numRef>
              <f>'الرسوم البيانية'!$I$40:$I$45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2" customWidth="1" min="4" max="4"/>
  </cols>
  <sheetData>
    <row r="1" ht="30" customHeight="1">
      <c r="A1" s="1" t="inlineStr">
        <is>
          <t>تقرير الحسابات السنوية — 2025</t>
        </is>
      </c>
    </row>
    <row r="2" ht="20" customHeight="1">
      <c r="A2" s="2" t="inlineStr">
        <is>
          <t>صندوق عائلة قطيفان | السنة المالية 2025</t>
        </is>
      </c>
    </row>
    <row r="4" ht="22" customHeight="1">
      <c r="A4" s="3" t="inlineStr">
        <is>
          <t>ملخص الحركة المالية</t>
        </is>
      </c>
    </row>
    <row r="5">
      <c r="A5" s="4" t="inlineStr">
        <is>
          <t>رصيد بداية المدة</t>
        </is>
      </c>
      <c r="B5" s="5" t="n">
        <v>32500</v>
      </c>
    </row>
    <row r="6">
      <c r="A6" s="6" t="inlineStr">
        <is>
          <t>إجمالي الاشتراكات</t>
        </is>
      </c>
      <c r="B6" s="7" t="n">
        <v>36300</v>
      </c>
    </row>
    <row r="7">
      <c r="A7" s="8" t="inlineStr">
        <is>
          <t>(−) إجمالي المصروفات</t>
        </is>
      </c>
      <c r="B7" s="9" t="n">
        <v>11350</v>
      </c>
    </row>
    <row r="8">
      <c r="A8" s="10" t="inlineStr">
        <is>
          <t>رصيد نهاية المدة</t>
        </is>
      </c>
      <c r="B8" s="11" t="n">
        <v>57450</v>
      </c>
    </row>
    <row r="10">
      <c r="A10" s="3" t="inlineStr">
        <is>
          <t>الاشتراكات الشهرية</t>
        </is>
      </c>
    </row>
    <row r="11">
      <c r="A11" s="12" t="inlineStr">
        <is>
          <t>الشهر</t>
        </is>
      </c>
      <c r="B11" s="12" t="inlineStr">
        <is>
          <t>المحصَّل (ر.س)</t>
        </is>
      </c>
    </row>
    <row r="12">
      <c r="A12" s="13" t="inlineStr">
        <is>
          <t>يناير</t>
        </is>
      </c>
      <c r="B12" s="14" t="n">
        <v>3600</v>
      </c>
    </row>
    <row r="13">
      <c r="A13" s="6" t="inlineStr">
        <is>
          <t>فبراير</t>
        </is>
      </c>
      <c r="B13" s="7" t="n">
        <v>3450</v>
      </c>
    </row>
    <row r="14">
      <c r="A14" s="13" t="inlineStr">
        <is>
          <t>مارس</t>
        </is>
      </c>
      <c r="B14" s="14" t="n">
        <v>3150</v>
      </c>
    </row>
    <row r="15">
      <c r="A15" s="6" t="inlineStr">
        <is>
          <t>أبريل</t>
        </is>
      </c>
      <c r="B15" s="7" t="n">
        <v>3300</v>
      </c>
    </row>
    <row r="16">
      <c r="A16" s="13" t="inlineStr">
        <is>
          <t>مايو</t>
        </is>
      </c>
      <c r="B16" s="14" t="n">
        <v>2850</v>
      </c>
    </row>
    <row r="17">
      <c r="A17" s="6" t="inlineStr">
        <is>
          <t>يونيو</t>
        </is>
      </c>
      <c r="B17" s="7" t="n">
        <v>2700</v>
      </c>
    </row>
    <row r="18">
      <c r="A18" s="13" t="inlineStr">
        <is>
          <t>يوليو</t>
        </is>
      </c>
      <c r="B18" s="14" t="n">
        <v>3000</v>
      </c>
    </row>
    <row r="19">
      <c r="A19" s="6" t="inlineStr">
        <is>
          <t>أغسطس</t>
        </is>
      </c>
      <c r="B19" s="7" t="n">
        <v>2550</v>
      </c>
    </row>
    <row r="20">
      <c r="A20" s="13" t="inlineStr">
        <is>
          <t>سبتمبر</t>
        </is>
      </c>
      <c r="B20" s="14" t="n">
        <v>2850</v>
      </c>
    </row>
    <row r="21">
      <c r="A21" s="6" t="inlineStr">
        <is>
          <t>أكتوبر</t>
        </is>
      </c>
      <c r="B21" s="7" t="n">
        <v>3150</v>
      </c>
    </row>
    <row r="22">
      <c r="A22" s="13" t="inlineStr">
        <is>
          <t>نوفمبر</t>
        </is>
      </c>
      <c r="B22" s="14" t="n">
        <v>2700</v>
      </c>
    </row>
    <row r="23">
      <c r="A23" s="6" t="inlineStr">
        <is>
          <t>ديسمبر</t>
        </is>
      </c>
      <c r="B23" s="7" t="n">
        <v>3000</v>
      </c>
    </row>
    <row r="24">
      <c r="A24" s="15" t="inlineStr">
        <is>
          <t>الإجمالي</t>
        </is>
      </c>
      <c r="B24" s="16" t="n">
        <v>36300</v>
      </c>
    </row>
    <row r="26">
      <c r="A26" s="17" t="inlineStr">
        <is>
          <t>المصروفات حسب البند</t>
        </is>
      </c>
    </row>
    <row r="27">
      <c r="A27" s="18" t="inlineStr">
        <is>
          <t>البند</t>
        </is>
      </c>
      <c r="B27" s="18" t="inlineStr">
        <is>
          <t>الحالات</t>
        </is>
      </c>
      <c r="C27" s="18" t="inlineStr">
        <is>
          <t>الإجمالي (ر.س)</t>
        </is>
      </c>
      <c r="D27" s="18" t="inlineStr">
        <is>
          <t>النسبة %</t>
        </is>
      </c>
    </row>
    <row r="28">
      <c r="A28" s="13" t="inlineStr">
        <is>
          <t>العزاء</t>
        </is>
      </c>
      <c r="B28" s="19" t="n">
        <v>4</v>
      </c>
      <c r="C28" s="14" t="n">
        <v>2000</v>
      </c>
      <c r="D28" s="20" t="n">
        <v>17.6</v>
      </c>
    </row>
    <row r="29">
      <c r="A29" s="6" t="inlineStr">
        <is>
          <t>نقوط الزواج</t>
        </is>
      </c>
      <c r="B29" s="21" t="n">
        <v>5</v>
      </c>
      <c r="C29" s="7" t="n">
        <v>5000</v>
      </c>
      <c r="D29" s="22" t="n">
        <v>44.1</v>
      </c>
    </row>
    <row r="30">
      <c r="A30" s="13" t="inlineStr">
        <is>
          <t>الطوارئ</t>
        </is>
      </c>
      <c r="B30" s="19" t="n">
        <v>4</v>
      </c>
      <c r="C30" s="14" t="n">
        <v>3100</v>
      </c>
      <c r="D30" s="20" t="n">
        <v>27.3</v>
      </c>
    </row>
    <row r="31">
      <c r="A31" s="6" t="inlineStr">
        <is>
          <t>المصاريف الإدارية</t>
        </is>
      </c>
      <c r="B31" s="21" t="n">
        <v>4</v>
      </c>
      <c r="C31" s="7" t="n">
        <v>1250</v>
      </c>
      <c r="D31" s="22" t="n">
        <v>11</v>
      </c>
    </row>
    <row r="32">
      <c r="A32" s="15" t="inlineStr">
        <is>
          <t>المجموع</t>
        </is>
      </c>
      <c r="B32" s="23" t="n">
        <v>17</v>
      </c>
      <c r="C32" s="16" t="n">
        <v>11350</v>
      </c>
      <c r="D32" s="24" t="n">
        <v>100</v>
      </c>
    </row>
  </sheetData>
  <mergeCells count="5">
    <mergeCell ref="A4:B4"/>
    <mergeCell ref="A26:E26"/>
    <mergeCell ref="A2:H2"/>
    <mergeCell ref="A10:B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4" customWidth="1" min="4" max="4"/>
    <col width="13" customWidth="1" min="5" max="5"/>
    <col width="12" customWidth="1" min="6" max="6"/>
  </cols>
  <sheetData>
    <row r="1" ht="30" customHeight="1">
      <c r="A1" s="1" t="inlineStr">
        <is>
          <t>تقرير الذمم والالتزام — 2025</t>
        </is>
      </c>
    </row>
    <row r="2" ht="20" customHeight="1">
      <c r="A2" s="2" t="inlineStr">
        <is>
          <t>كشف حساب الأعضاء النهائي</t>
        </is>
      </c>
    </row>
    <row r="3">
      <c r="A3" s="12" t="inlineStr">
        <is>
          <t>الاسم</t>
        </is>
      </c>
      <c r="B3" s="12" t="inlineStr">
        <is>
          <t>مسدَّد (ر.س)</t>
        </is>
      </c>
      <c r="C3" s="12" t="inlineStr">
        <is>
          <t>ذمة (ر.س)</t>
        </is>
      </c>
      <c r="D3" s="12" t="inlineStr">
        <is>
          <t>أشهر مسدَّدة</t>
        </is>
      </c>
      <c r="E3" s="12" t="inlineStr">
        <is>
          <t>الالتزام %</t>
        </is>
      </c>
      <c r="F3" s="12" t="inlineStr">
        <is>
          <t>التقييم</t>
        </is>
      </c>
    </row>
    <row r="4">
      <c r="A4" s="13" t="inlineStr">
        <is>
          <t>عبدالله محمد القطيفان</t>
        </is>
      </c>
      <c r="B4" s="14" t="n">
        <v>1800</v>
      </c>
      <c r="C4" s="14" t="n">
        <v>0</v>
      </c>
      <c r="D4" s="19" t="n">
        <v>12</v>
      </c>
      <c r="E4" s="25" t="n">
        <v>1</v>
      </c>
      <c r="F4" s="26" t="inlineStr">
        <is>
          <t>ممتاز</t>
        </is>
      </c>
    </row>
    <row r="5">
      <c r="A5" s="6" t="inlineStr">
        <is>
          <t>فاطمة علي القطيفان</t>
        </is>
      </c>
      <c r="B5" s="7" t="n">
        <v>1800</v>
      </c>
      <c r="C5" s="7" t="n">
        <v>0</v>
      </c>
      <c r="D5" s="21" t="n">
        <v>12</v>
      </c>
      <c r="E5" s="27" t="n">
        <v>1</v>
      </c>
      <c r="F5" s="28" t="inlineStr">
        <is>
          <t>ممتاز</t>
        </is>
      </c>
    </row>
    <row r="6">
      <c r="A6" s="13" t="inlineStr">
        <is>
          <t>سعد خالد القطيفان</t>
        </is>
      </c>
      <c r="B6" s="14" t="n">
        <v>1800</v>
      </c>
      <c r="C6" s="14" t="n">
        <v>0</v>
      </c>
      <c r="D6" s="19" t="n">
        <v>12</v>
      </c>
      <c r="E6" s="25" t="n">
        <v>1</v>
      </c>
      <c r="F6" s="26" t="inlineStr">
        <is>
          <t>ممتاز</t>
        </is>
      </c>
    </row>
    <row r="7">
      <c r="A7" s="6" t="inlineStr">
        <is>
          <t>نورة سالم القطيفان</t>
        </is>
      </c>
      <c r="B7" s="7" t="n">
        <v>1650</v>
      </c>
      <c r="C7" s="7" t="n">
        <v>0</v>
      </c>
      <c r="D7" s="21" t="n">
        <v>11</v>
      </c>
      <c r="E7" s="27" t="n">
        <v>1</v>
      </c>
      <c r="F7" s="28" t="inlineStr">
        <is>
          <t>ممتاز</t>
        </is>
      </c>
    </row>
    <row r="8">
      <c r="A8" s="13" t="inlineStr">
        <is>
          <t>عمر ناصر القطيفان</t>
        </is>
      </c>
      <c r="B8" s="14" t="n">
        <v>1600</v>
      </c>
      <c r="C8" s="29" t="n">
        <v>300</v>
      </c>
      <c r="D8" s="19" t="n">
        <v>9</v>
      </c>
      <c r="E8" s="25" t="n">
        <v>0.75</v>
      </c>
      <c r="F8" s="30" t="inlineStr">
        <is>
          <t>جيد</t>
        </is>
      </c>
    </row>
    <row r="9">
      <c r="A9" s="6" t="inlineStr">
        <is>
          <t>هند يوسف القطيفان</t>
        </is>
      </c>
      <c r="B9" s="7" t="n">
        <v>1400</v>
      </c>
      <c r="C9" s="31" t="n">
        <v>400</v>
      </c>
      <c r="D9" s="21" t="n">
        <v>8</v>
      </c>
      <c r="E9" s="27" t="n">
        <v>0.667</v>
      </c>
      <c r="F9" s="32" t="inlineStr">
        <is>
          <t>جيد</t>
        </is>
      </c>
    </row>
    <row r="10">
      <c r="A10" s="13" t="inlineStr">
        <is>
          <t>خالد سعد القطيفان</t>
        </is>
      </c>
      <c r="B10" s="14" t="n">
        <v>1250</v>
      </c>
      <c r="C10" s="29" t="n">
        <v>550</v>
      </c>
      <c r="D10" s="19" t="n">
        <v>7</v>
      </c>
      <c r="E10" s="25" t="n">
        <v>0.583</v>
      </c>
      <c r="F10" s="33" t="inlineStr">
        <is>
          <t>متوسط</t>
        </is>
      </c>
    </row>
    <row r="11">
      <c r="A11" s="6" t="inlineStr">
        <is>
          <t>يوسف حسن القطيفان</t>
        </is>
      </c>
      <c r="B11" s="7" t="n">
        <v>1050</v>
      </c>
      <c r="C11" s="31" t="n">
        <v>750</v>
      </c>
      <c r="D11" s="21" t="n">
        <v>7</v>
      </c>
      <c r="E11" s="27" t="n">
        <v>0.583</v>
      </c>
      <c r="F11" s="34" t="inlineStr">
        <is>
          <t>متوسط</t>
        </is>
      </c>
    </row>
    <row r="12">
      <c r="A12" s="13" t="inlineStr">
        <is>
          <t>سلطان علي القطيفان</t>
        </is>
      </c>
      <c r="B12" s="14" t="n">
        <v>1200</v>
      </c>
      <c r="C12" s="29" t="n">
        <v>600</v>
      </c>
      <c r="D12" s="19" t="n">
        <v>6</v>
      </c>
      <c r="E12" s="25" t="n">
        <v>0.5</v>
      </c>
      <c r="F12" s="35" t="inlineStr">
        <is>
          <t>متأخر</t>
        </is>
      </c>
    </row>
    <row r="13">
      <c r="A13" s="6" t="inlineStr">
        <is>
          <t>محمد ناصر القطيفان</t>
        </is>
      </c>
      <c r="B13" s="7" t="n">
        <v>900</v>
      </c>
      <c r="C13" s="31" t="n">
        <v>900</v>
      </c>
      <c r="D13" s="21" t="n">
        <v>6</v>
      </c>
      <c r="E13" s="27" t="n">
        <v>0.5</v>
      </c>
      <c r="F13" s="36" t="inlineStr">
        <is>
          <t>متأخر</t>
        </is>
      </c>
    </row>
    <row r="14">
      <c r="A14" s="13" t="inlineStr">
        <is>
          <t>أحمد محمد القطيفان</t>
        </is>
      </c>
      <c r="B14" s="14" t="n">
        <v>900</v>
      </c>
      <c r="C14" s="29" t="n">
        <v>900</v>
      </c>
      <c r="D14" s="19" t="n">
        <v>5</v>
      </c>
      <c r="E14" s="25" t="n">
        <v>0.417</v>
      </c>
      <c r="F14" s="35" t="inlineStr">
        <is>
          <t>متأخر</t>
        </is>
      </c>
    </row>
    <row r="15">
      <c r="A15" s="6" t="inlineStr">
        <is>
          <t>عبدالرحمن عمر القطيفان</t>
        </is>
      </c>
      <c r="B15" s="7" t="n">
        <v>750</v>
      </c>
      <c r="C15" s="31" t="n">
        <v>1050</v>
      </c>
      <c r="D15" s="21" t="n">
        <v>5</v>
      </c>
      <c r="E15" s="27" t="n">
        <v>0.417</v>
      </c>
      <c r="F15" s="36" t="inlineStr">
        <is>
          <t>متأخر</t>
        </is>
      </c>
    </row>
    <row r="16">
      <c r="A16" s="37" t="inlineStr">
        <is>
          <t>المجموع</t>
        </is>
      </c>
      <c r="B16" s="16" t="n">
        <v>16100</v>
      </c>
      <c r="C16" s="16" t="n">
        <v>5450</v>
      </c>
      <c r="D16" s="37" t="n"/>
      <c r="E16" s="37" t="n"/>
      <c r="F16" s="37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20" customWidth="1" min="6" max="6"/>
    <col width="15" customWidth="1" min="7" max="7"/>
  </cols>
  <sheetData>
    <row r="1" ht="30" customHeight="1">
      <c r="A1" s="1" t="inlineStr">
        <is>
          <t>تقرير كفاءة التنبيهات الآلية — 2025</t>
        </is>
      </c>
    </row>
    <row r="2" ht="20" customHeight="1">
      <c r="A2" s="2" t="inlineStr">
        <is>
          <t>تحليل أداء الرسائل والتحصيل</t>
        </is>
      </c>
    </row>
    <row r="3">
      <c r="A3" s="38" t="inlineStr">
        <is>
          <t>الشهر</t>
        </is>
      </c>
      <c r="B3" s="38" t="inlineStr">
        <is>
          <t>مُرسَل</t>
        </is>
      </c>
      <c r="C3" s="38" t="inlineStr">
        <is>
          <t>موصَّل</t>
        </is>
      </c>
      <c r="D3" s="38" t="inlineStr">
        <is>
          <t>مفتوح</t>
        </is>
      </c>
      <c r="E3" s="38" t="inlineStr">
        <is>
          <t>سداد بعده</t>
        </is>
      </c>
      <c r="F3" s="38" t="inlineStr">
        <is>
          <t>القناة</t>
        </is>
      </c>
      <c r="G3" s="38" t="inlineStr">
        <is>
          <t>معدل التحويل</t>
        </is>
      </c>
    </row>
    <row r="4">
      <c r="A4" s="13" t="inlineStr">
        <is>
          <t>يناير</t>
        </is>
      </c>
      <c r="B4" s="19" t="n">
        <v>48</v>
      </c>
      <c r="C4" s="19" t="n">
        <v>45</v>
      </c>
      <c r="D4" s="19" t="n">
        <v>41</v>
      </c>
      <c r="E4" s="19" t="n">
        <v>37</v>
      </c>
      <c r="F4" s="19" t="inlineStr">
        <is>
          <t>واتساب+إيميل</t>
        </is>
      </c>
      <c r="G4" s="39" t="n">
        <v>0.771</v>
      </c>
    </row>
    <row r="5">
      <c r="A5" s="6" t="inlineStr">
        <is>
          <t>فبراير</t>
        </is>
      </c>
      <c r="B5" s="21" t="n">
        <v>45</v>
      </c>
      <c r="C5" s="21" t="n">
        <v>42</v>
      </c>
      <c r="D5" s="21" t="n">
        <v>38</v>
      </c>
      <c r="E5" s="21" t="n">
        <v>34</v>
      </c>
      <c r="F5" s="21" t="inlineStr">
        <is>
          <t>واتساب+إيميل</t>
        </is>
      </c>
      <c r="G5" s="40" t="n">
        <v>0.756</v>
      </c>
    </row>
    <row r="6">
      <c r="A6" s="13" t="inlineStr">
        <is>
          <t>مارس</t>
        </is>
      </c>
      <c r="B6" s="19" t="n">
        <v>50</v>
      </c>
      <c r="C6" s="19" t="n">
        <v>47</v>
      </c>
      <c r="D6" s="19" t="n">
        <v>45</v>
      </c>
      <c r="E6" s="19" t="n">
        <v>40</v>
      </c>
      <c r="F6" s="19" t="inlineStr">
        <is>
          <t>واتساب+إيميل</t>
        </is>
      </c>
      <c r="G6" s="39" t="n">
        <v>0.8</v>
      </c>
    </row>
    <row r="7">
      <c r="A7" s="6" t="inlineStr">
        <is>
          <t>أبريل</t>
        </is>
      </c>
      <c r="B7" s="21" t="n">
        <v>46</v>
      </c>
      <c r="C7" s="21" t="n">
        <v>43</v>
      </c>
      <c r="D7" s="21" t="n">
        <v>41</v>
      </c>
      <c r="E7" s="21" t="n">
        <v>38</v>
      </c>
      <c r="F7" s="21" t="inlineStr">
        <is>
          <t>واتساب+إيميل</t>
        </is>
      </c>
      <c r="G7" s="40" t="n">
        <v>0.826</v>
      </c>
    </row>
    <row r="8">
      <c r="A8" s="13" t="inlineStr">
        <is>
          <t>مايو</t>
        </is>
      </c>
      <c r="B8" s="19" t="n">
        <v>52</v>
      </c>
      <c r="C8" s="19" t="n">
        <v>49</v>
      </c>
      <c r="D8" s="19" t="n">
        <v>44</v>
      </c>
      <c r="E8" s="19" t="n">
        <v>39</v>
      </c>
      <c r="F8" s="19" t="inlineStr">
        <is>
          <t>واتساب+إيميل</t>
        </is>
      </c>
      <c r="G8" s="39" t="n">
        <v>0.75</v>
      </c>
    </row>
    <row r="9">
      <c r="A9" s="6" t="inlineStr">
        <is>
          <t>يونيو</t>
        </is>
      </c>
      <c r="B9" s="21" t="n">
        <v>55</v>
      </c>
      <c r="C9" s="21" t="n">
        <v>51</v>
      </c>
      <c r="D9" s="21" t="n">
        <v>47</v>
      </c>
      <c r="E9" s="21" t="n">
        <v>42</v>
      </c>
      <c r="F9" s="21" t="inlineStr">
        <is>
          <t>واتساب+إيميل</t>
        </is>
      </c>
      <c r="G9" s="40" t="n">
        <v>0.764</v>
      </c>
    </row>
    <row r="10">
      <c r="A10" s="37" t="inlineStr">
        <is>
          <t>الإجمالي</t>
        </is>
      </c>
      <c r="B10" s="37" t="n">
        <v>296</v>
      </c>
      <c r="C10" s="37" t="n">
        <v>277</v>
      </c>
      <c r="D10" s="37" t="n">
        <v>256</v>
      </c>
      <c r="E10" s="37" t="n">
        <v>230</v>
      </c>
      <c r="F10" s="37" t="n"/>
      <c r="G10" s="41" t="n">
        <v>0.777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الرسوم البيانية التحليلية</t>
        </is>
      </c>
    </row>
    <row r="2" ht="20" customHeight="1">
      <c r="A2" s="2" t="inlineStr">
        <is>
          <t>ملخص بصري للتقارير الثلاثة</t>
        </is>
      </c>
    </row>
    <row r="39">
      <c r="G39" t="inlineStr">
        <is>
          <t>مُرسَل</t>
        </is>
      </c>
      <c r="I39" t="inlineStr">
        <is>
          <t>سداد بعده</t>
        </is>
      </c>
    </row>
    <row r="40">
      <c r="A40" t="inlineStr">
        <is>
          <t>العزاء</t>
        </is>
      </c>
      <c r="B40" t="n">
        <v>2000</v>
      </c>
      <c r="D40" t="inlineStr">
        <is>
          <t>يناير</t>
        </is>
      </c>
      <c r="E40" t="n">
        <v>3600</v>
      </c>
      <c r="G40" t="inlineStr">
        <is>
          <t>يناير</t>
        </is>
      </c>
      <c r="H40" t="n">
        <v>48</v>
      </c>
      <c r="I40" t="n">
        <v>37</v>
      </c>
    </row>
    <row r="41">
      <c r="A41" t="inlineStr">
        <is>
          <t>نقوط الزواج</t>
        </is>
      </c>
      <c r="B41" t="n">
        <v>5000</v>
      </c>
      <c r="D41" t="inlineStr">
        <is>
          <t>فبراير</t>
        </is>
      </c>
      <c r="E41" t="n">
        <v>3450</v>
      </c>
      <c r="G41" t="inlineStr">
        <is>
          <t>فبراير</t>
        </is>
      </c>
      <c r="H41" t="n">
        <v>45</v>
      </c>
      <c r="I41" t="n">
        <v>34</v>
      </c>
    </row>
    <row r="42">
      <c r="A42" t="inlineStr">
        <is>
          <t>الطوارئ</t>
        </is>
      </c>
      <c r="B42" t="n">
        <v>3100</v>
      </c>
      <c r="D42" t="inlineStr">
        <is>
          <t>مارس</t>
        </is>
      </c>
      <c r="E42" t="n">
        <v>3150</v>
      </c>
      <c r="G42" t="inlineStr">
        <is>
          <t>مارس</t>
        </is>
      </c>
      <c r="H42" t="n">
        <v>50</v>
      </c>
      <c r="I42" t="n">
        <v>40</v>
      </c>
    </row>
    <row r="43">
      <c r="A43" t="inlineStr">
        <is>
          <t>إدارية</t>
        </is>
      </c>
      <c r="B43" t="n">
        <v>1250</v>
      </c>
      <c r="D43" t="inlineStr">
        <is>
          <t>أبريل</t>
        </is>
      </c>
      <c r="E43" t="n">
        <v>3300</v>
      </c>
      <c r="G43" t="inlineStr">
        <is>
          <t>أبريل</t>
        </is>
      </c>
      <c r="H43" t="n">
        <v>46</v>
      </c>
      <c r="I43" t="n">
        <v>38</v>
      </c>
    </row>
    <row r="44">
      <c r="D44" t="inlineStr">
        <is>
          <t>مايو</t>
        </is>
      </c>
      <c r="E44" t="n">
        <v>2850</v>
      </c>
      <c r="G44" t="inlineStr">
        <is>
          <t>مايو</t>
        </is>
      </c>
      <c r="H44" t="n">
        <v>52</v>
      </c>
      <c r="I44" t="n">
        <v>39</v>
      </c>
    </row>
    <row r="45">
      <c r="D45" t="inlineStr">
        <is>
          <t>يونيو</t>
        </is>
      </c>
      <c r="E45" t="n">
        <v>2700</v>
      </c>
      <c r="G45" t="inlineStr">
        <is>
          <t>يونيو</t>
        </is>
      </c>
      <c r="H45" t="n">
        <v>55</v>
      </c>
      <c r="I45" t="n">
        <v>42</v>
      </c>
    </row>
    <row r="46">
      <c r="D46" t="inlineStr">
        <is>
          <t>يوليو</t>
        </is>
      </c>
      <c r="E46" t="n">
        <v>3000</v>
      </c>
    </row>
    <row r="47">
      <c r="D47" t="inlineStr">
        <is>
          <t>أغسطس</t>
        </is>
      </c>
      <c r="E47" t="n">
        <v>2550</v>
      </c>
    </row>
    <row r="48">
      <c r="D48" t="inlineStr">
        <is>
          <t>سبتمبر</t>
        </is>
      </c>
      <c r="E48" t="n">
        <v>2850</v>
      </c>
    </row>
    <row r="49">
      <c r="D49" t="inlineStr">
        <is>
          <t>أكتوبر</t>
        </is>
      </c>
      <c r="E49" t="n">
        <v>3150</v>
      </c>
    </row>
    <row r="50">
      <c r="D50" t="inlineStr">
        <is>
          <t>نوفمبر</t>
        </is>
      </c>
      <c r="E50" t="n">
        <v>2700</v>
      </c>
    </row>
    <row r="51">
      <c r="D51" t="inlineStr">
        <is>
          <t>ديسمبر</t>
        </is>
      </c>
      <c r="E51" t="n">
        <v>3000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2026-05-27T10:57:59Z</dcterms:created>
  <dcterms:modified xmlns:dcterms="http://purl.org/dc/terms/" xmlns:xsi="http://www.w3.org/2001/XMLSchema-instance" xsi:type="dcterms:W3CDTF">2026-05-27T10:57:59Z</dcterms:modified>
</cp:coreProperties>
</file>